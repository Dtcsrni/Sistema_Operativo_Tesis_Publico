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5e1e5dacfec4262/Maestria/Materias/Desarrollo de negocios en IoT/"/>
    </mc:Choice>
  </mc:AlternateContent>
  <xr:revisionPtr revIDLastSave="1" documentId="13_ncr:1_{3F9147BC-E639-4135-A0B7-186556B1C0F7}" xr6:coauthVersionLast="47" xr6:coauthVersionMax="47" xr10:uidLastSave="{E16EDF1B-55AF-47F2-8223-92F9D47FCE51}"/>
  <bookViews>
    <workbookView xWindow="-108" yWindow="-108" windowWidth="23256" windowHeight="12456" xr2:uid="{00000000-000D-0000-FFFF-FFFF00000000}"/>
  </bookViews>
  <sheets>
    <sheet name="Viabilidad Financie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QJiCW1QDsxb7E6XYeHakNvzCJGcBL5C5kGN+bm+B0g="/>
    </ext>
  </extLst>
</workbook>
</file>

<file path=xl/calcChain.xml><?xml version="1.0" encoding="utf-8"?>
<calcChain xmlns="http://schemas.openxmlformats.org/spreadsheetml/2006/main">
  <c r="F7" i="1" l="1"/>
  <c r="G7" i="1" s="1"/>
  <c r="D8" i="1"/>
  <c r="E8" i="1" s="1"/>
  <c r="F8" i="1" s="1"/>
  <c r="G8" i="1" s="1"/>
  <c r="D10" i="1"/>
  <c r="E10" i="1" s="1"/>
  <c r="F10" i="1" s="1"/>
  <c r="G10" i="1" s="1"/>
  <c r="C7" i="1"/>
  <c r="C8" i="1" s="1"/>
  <c r="D7" i="1"/>
  <c r="E7" i="1" s="1"/>
  <c r="B27" i="1"/>
  <c r="B19" i="1"/>
  <c r="C9" i="1" l="1"/>
  <c r="C11" i="1" s="1"/>
  <c r="F9" i="1" l="1"/>
  <c r="F11" i="1" s="1"/>
  <c r="G9" i="1"/>
  <c r="G11" i="1" s="1"/>
  <c r="C12" i="1"/>
  <c r="D12" i="1" s="1"/>
  <c r="E12" i="1" s="1"/>
  <c r="F12" i="1" s="1"/>
  <c r="G12" i="1" s="1"/>
  <c r="D9" i="1"/>
  <c r="D11" i="1" s="1"/>
  <c r="C13" i="1"/>
  <c r="E9" i="1"/>
  <c r="E11" i="1" s="1"/>
  <c r="G13" i="1" l="1"/>
  <c r="F13" i="1"/>
  <c r="D13" i="1"/>
  <c r="D14" i="1" s="1"/>
  <c r="D15" i="1" s="1"/>
  <c r="D19" i="1" s="1"/>
  <c r="E13" i="1"/>
  <c r="E14" i="1" s="1"/>
  <c r="E15" i="1" s="1"/>
  <c r="E19" i="1" s="1"/>
  <c r="C14" i="1"/>
  <c r="C15" i="1" s="1"/>
  <c r="C19" i="1" s="1"/>
  <c r="D24" i="1"/>
  <c r="D23" i="1"/>
  <c r="F14" i="1" l="1"/>
  <c r="F15" i="1"/>
  <c r="F19" i="1" s="1"/>
  <c r="G14" i="1"/>
  <c r="G15" i="1" s="1"/>
  <c r="G19" i="1" s="1"/>
  <c r="E24" i="1"/>
  <c r="E23" i="1"/>
  <c r="C24" i="1"/>
  <c r="C23" i="1"/>
  <c r="G23" i="1" l="1"/>
  <c r="F23" i="1" s="1"/>
  <c r="B23" i="1" s="1"/>
  <c r="B22" i="1" s="1"/>
  <c r="G24" i="1"/>
  <c r="B29" i="1" a="1"/>
  <c r="B29" i="1" s="1"/>
  <c r="B30" i="1" s="1"/>
  <c r="B28" i="1"/>
</calcChain>
</file>

<file path=xl/sharedStrings.xml><?xml version="1.0" encoding="utf-8"?>
<sst xmlns="http://schemas.openxmlformats.org/spreadsheetml/2006/main" count="30" uniqueCount="26">
  <si>
    <t xml:space="preserve"> </t>
  </si>
  <si>
    <t>Total de la inversión</t>
  </si>
  <si>
    <t>Estado de resultados del proyecto</t>
  </si>
  <si>
    <t>Ventas</t>
  </si>
  <si>
    <t>(-) costo de venta</t>
  </si>
  <si>
    <t>Utilidad bruta</t>
  </si>
  <si>
    <t>(-)Gastos de operación</t>
  </si>
  <si>
    <t>Utilidad operacional</t>
  </si>
  <si>
    <t>(-) Intereses</t>
  </si>
  <si>
    <t>Utilidad antes de impuesto</t>
  </si>
  <si>
    <t>(-) Impuestos</t>
  </si>
  <si>
    <t>Utilidad Neta</t>
  </si>
  <si>
    <t>+  (Depreciación y amortización)</t>
  </si>
  <si>
    <t>Inversión Inicial</t>
  </si>
  <si>
    <t>Flujo de efectivo Neto</t>
  </si>
  <si>
    <t>Flujos de efectivo a Valor Presente</t>
  </si>
  <si>
    <t>Tas de retorno anual del Proyecto</t>
  </si>
  <si>
    <t>Tasa de Descuento (TIIE + 2 puntos)</t>
  </si>
  <si>
    <t>Tasa Interna de Rendimiento (TIR)</t>
  </si>
  <si>
    <t>Valor Presente Neto (VPN)</t>
  </si>
  <si>
    <t>Indice de Rentabilidad (IR)</t>
  </si>
  <si>
    <t>Tasa TIIE Enero 2015</t>
  </si>
  <si>
    <t>Tasa de ISR 2022</t>
  </si>
  <si>
    <t>Análisis de Viabilidad Proyecto Atzin</t>
  </si>
  <si>
    <t>Retorno sobre la Inversión en 3 años (ROI)</t>
  </si>
  <si>
    <t>5 nodos + 1 gateway + instalación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</si>
</sst>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_-&quot;$&quot;* #,##0.00_-;\-&quot;$&quot;* #,##0.00_-;_-&quot;$&quot;* &quot;-&quot;??_-;_-@"/>
    <numFmt numFmtId="165" formatCode="_-* #,##0.00\ _€_-;\-* #,##0.00\ _€_-;_-* &quot;-&quot;??\ _€_-;_-@"/>
  </numFmts>
  <fonts count="11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rgb="FF000000"/>
      <name val="Arial"/>
    </font>
    <font>
      <sz val="11"/>
      <name val="Calibri"/>
    </font>
    <font>
      <sz val="11"/>
      <color rgb="FF000000"/>
      <name val="Arial"/>
    </font>
    <font>
      <b/>
      <sz val="11"/>
      <color rgb="FF000000"/>
      <name val="Arial"/>
    </font>
    <font>
      <b/>
      <sz val="14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1"/>
      <color theme="1"/>
      <name val="Calibri"/>
    </font>
    <font>
      <sz val="13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66FF66"/>
        <bgColor rgb="FF66FF66"/>
      </patternFill>
    </fill>
    <fill>
      <patternFill patternType="solid">
        <fgColor rgb="FFE2EFD9"/>
        <bgColor rgb="FFE2EFD9"/>
      </patternFill>
    </fill>
    <fill>
      <patternFill patternType="solid">
        <fgColor rgb="FF99FF99"/>
        <bgColor rgb="FF99FF99"/>
      </patternFill>
    </fill>
    <fill>
      <patternFill patternType="solid">
        <fgColor rgb="FFFFE599"/>
        <bgColor rgb="FFFFE599"/>
      </patternFill>
    </fill>
    <fill>
      <patternFill patternType="solid">
        <fgColor rgb="FFC5E0B3"/>
        <bgColor rgb="FFC5E0B3"/>
      </patternFill>
    </fill>
    <fill>
      <patternFill patternType="solid">
        <fgColor rgb="FF66FF33"/>
        <bgColor rgb="FF66FF33"/>
      </patternFill>
    </fill>
    <fill>
      <patternFill patternType="solid">
        <fgColor rgb="FF00FF99"/>
        <bgColor rgb="FF00FF99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9" fontId="4" fillId="2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6" xfId="0" applyFont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164" fontId="7" fillId="4" borderId="7" xfId="0" applyNumberFormat="1" applyFont="1" applyFill="1" applyBorder="1" applyAlignment="1">
      <alignment horizontal="right" vertical="top" wrapText="1"/>
    </xf>
    <xf numFmtId="165" fontId="4" fillId="0" borderId="0" xfId="0" applyNumberFormat="1" applyFont="1" applyAlignment="1">
      <alignment horizontal="right"/>
    </xf>
    <xf numFmtId="165" fontId="4" fillId="0" borderId="6" xfId="0" applyNumberFormat="1" applyFont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6" fillId="3" borderId="8" xfId="0" applyFont="1" applyFill="1" applyBorder="1" applyAlignment="1">
      <alignment horizontal="right" wrapText="1"/>
    </xf>
    <xf numFmtId="0" fontId="5" fillId="0" borderId="9" xfId="0" applyFont="1" applyBorder="1" applyAlignment="1">
      <alignment horizontal="right" wrapText="1"/>
    </xf>
    <xf numFmtId="0" fontId="8" fillId="5" borderId="7" xfId="0" applyFont="1" applyFill="1" applyBorder="1" applyAlignment="1">
      <alignment horizontal="right" vertical="top" wrapText="1"/>
    </xf>
    <xf numFmtId="0" fontId="8" fillId="6" borderId="7" xfId="0" applyFont="1" applyFill="1" applyBorder="1" applyAlignment="1">
      <alignment horizontal="right" vertical="top" wrapText="1"/>
    </xf>
    <xf numFmtId="0" fontId="1" fillId="0" borderId="0" xfId="0" applyFont="1" applyAlignment="1">
      <alignment horizontal="center"/>
    </xf>
    <xf numFmtId="0" fontId="7" fillId="7" borderId="8" xfId="0" applyFont="1" applyFill="1" applyBorder="1" applyAlignment="1">
      <alignment horizontal="right" wrapText="1"/>
    </xf>
    <xf numFmtId="0" fontId="7" fillId="0" borderId="9" xfId="0" applyFont="1" applyBorder="1" applyAlignment="1">
      <alignment horizontal="right" wrapText="1"/>
    </xf>
    <xf numFmtId="164" fontId="7" fillId="5" borderId="7" xfId="0" applyNumberFormat="1" applyFont="1" applyFill="1" applyBorder="1" applyAlignment="1">
      <alignment horizontal="right" vertical="top" wrapText="1"/>
    </xf>
    <xf numFmtId="164" fontId="7" fillId="6" borderId="7" xfId="0" applyNumberFormat="1" applyFont="1" applyFill="1" applyBorder="1" applyAlignment="1">
      <alignment horizontal="right" vertical="top" wrapText="1"/>
    </xf>
    <xf numFmtId="0" fontId="7" fillId="3" borderId="8" xfId="0" applyFont="1" applyFill="1" applyBorder="1" applyAlignment="1">
      <alignment horizontal="right" wrapText="1"/>
    </xf>
    <xf numFmtId="164" fontId="1" fillId="0" borderId="0" xfId="0" applyNumberFormat="1" applyFont="1"/>
    <xf numFmtId="0" fontId="9" fillId="0" borderId="0" xfId="0" applyFont="1"/>
    <xf numFmtId="0" fontId="8" fillId="3" borderId="8" xfId="0" applyFont="1" applyFill="1" applyBorder="1" applyAlignment="1">
      <alignment horizontal="right" wrapText="1"/>
    </xf>
    <xf numFmtId="0" fontId="8" fillId="0" borderId="9" xfId="0" applyFont="1" applyBorder="1" applyAlignment="1">
      <alignment horizontal="right" wrapText="1"/>
    </xf>
    <xf numFmtId="0" fontId="4" fillId="0" borderId="10" xfId="0" applyFont="1" applyBorder="1" applyAlignment="1">
      <alignment horizontal="right"/>
    </xf>
    <xf numFmtId="0" fontId="10" fillId="8" borderId="11" xfId="0" applyFont="1" applyFill="1" applyBorder="1" applyAlignment="1">
      <alignment horizontal="right" wrapText="1"/>
    </xf>
    <xf numFmtId="0" fontId="5" fillId="8" borderId="7" xfId="0" applyFont="1" applyFill="1" applyBorder="1" applyAlignment="1">
      <alignment horizontal="right" wrapText="1"/>
    </xf>
    <xf numFmtId="164" fontId="7" fillId="8" borderId="7" xfId="0" applyNumberFormat="1" applyFont="1" applyFill="1" applyBorder="1" applyAlignment="1">
      <alignment horizontal="right" vertical="top" wrapText="1"/>
    </xf>
    <xf numFmtId="0" fontId="8" fillId="8" borderId="11" xfId="0" applyFont="1" applyFill="1" applyBorder="1" applyAlignment="1">
      <alignment horizontal="right" wrapText="1"/>
    </xf>
    <xf numFmtId="164" fontId="8" fillId="8" borderId="7" xfId="0" applyNumberFormat="1" applyFont="1" applyFill="1" applyBorder="1" applyAlignment="1">
      <alignment horizontal="right" vertical="top" wrapText="1"/>
    </xf>
    <xf numFmtId="0" fontId="5" fillId="4" borderId="11" xfId="0" applyFont="1" applyFill="1" applyBorder="1" applyAlignment="1">
      <alignment horizontal="right" wrapText="1"/>
    </xf>
    <xf numFmtId="9" fontId="5" fillId="4" borderId="7" xfId="0" applyNumberFormat="1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9" borderId="11" xfId="0" applyFont="1" applyFill="1" applyBorder="1" applyAlignment="1">
      <alignment horizontal="right"/>
    </xf>
    <xf numFmtId="164" fontId="4" fillId="9" borderId="7" xfId="0" applyNumberFormat="1" applyFont="1" applyFill="1" applyBorder="1" applyAlignment="1">
      <alignment horizontal="right"/>
    </xf>
    <xf numFmtId="0" fontId="4" fillId="10" borderId="11" xfId="0" applyFont="1" applyFill="1" applyBorder="1" applyAlignment="1">
      <alignment horizontal="right"/>
    </xf>
    <xf numFmtId="0" fontId="4" fillId="10" borderId="7" xfId="0" applyFont="1" applyFill="1" applyBorder="1" applyAlignment="1">
      <alignment horizontal="right"/>
    </xf>
    <xf numFmtId="9" fontId="4" fillId="10" borderId="7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10" fontId="5" fillId="3" borderId="7" xfId="0" applyNumberFormat="1" applyFont="1" applyFill="1" applyBorder="1" applyAlignment="1">
      <alignment horizontal="right"/>
    </xf>
    <xf numFmtId="9" fontId="4" fillId="0" borderId="0" xfId="0" applyNumberFormat="1" applyFont="1" applyAlignment="1">
      <alignment horizontal="right"/>
    </xf>
    <xf numFmtId="8" fontId="5" fillId="3" borderId="7" xfId="0" applyNumberFormat="1" applyFont="1" applyFill="1" applyBorder="1" applyAlignment="1">
      <alignment horizontal="right"/>
    </xf>
    <xf numFmtId="164" fontId="5" fillId="3" borderId="7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right"/>
    </xf>
    <xf numFmtId="10" fontId="4" fillId="3" borderId="7" xfId="0" applyNumberFormat="1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9" fontId="4" fillId="3" borderId="13" xfId="0" applyNumberFormat="1" applyFont="1" applyFill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16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60" workbookViewId="0">
      <selection activeCell="K34" sqref="K34"/>
    </sheetView>
  </sheetViews>
  <sheetFormatPr baseColWidth="10" defaultColWidth="14.44140625" defaultRowHeight="15" customHeight="1" x14ac:dyDescent="0.3"/>
  <cols>
    <col min="1" max="1" width="37.6640625" customWidth="1"/>
    <col min="2" max="7" width="20.33203125" customWidth="1"/>
    <col min="8" max="8" width="8" customWidth="1"/>
    <col min="9" max="9" width="18.109375" customWidth="1"/>
    <col min="10" max="26" width="8" customWidth="1"/>
  </cols>
  <sheetData>
    <row r="1" spans="1:26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55" t="s">
        <v>23</v>
      </c>
      <c r="B2" s="56"/>
      <c r="C2" s="56"/>
      <c r="D2" s="56"/>
      <c r="E2" s="56"/>
      <c r="F2" s="56"/>
      <c r="G2" s="5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2"/>
      <c r="B3" s="3"/>
      <c r="C3" s="3"/>
      <c r="D3" s="4" t="s">
        <v>0</v>
      </c>
      <c r="E3" s="5" t="s">
        <v>0</v>
      </c>
      <c r="F3" s="6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 x14ac:dyDescent="0.3">
      <c r="A4" s="8" t="s">
        <v>1</v>
      </c>
      <c r="B4" s="9">
        <v>149000</v>
      </c>
      <c r="C4" s="58" t="s">
        <v>25</v>
      </c>
      <c r="D4" s="59"/>
      <c r="E4" s="59"/>
      <c r="F4" s="59"/>
      <c r="G4" s="6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2"/>
      <c r="B5" s="6"/>
      <c r="C5" s="6"/>
      <c r="D5" s="6"/>
      <c r="E5" s="6"/>
      <c r="F5" s="6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" customHeight="1" x14ac:dyDescent="0.3">
      <c r="A6" s="13" t="s">
        <v>2</v>
      </c>
      <c r="B6" s="14"/>
      <c r="C6" s="15">
        <v>2026</v>
      </c>
      <c r="D6" s="16">
        <v>2027</v>
      </c>
      <c r="E6" s="15">
        <v>2028</v>
      </c>
      <c r="F6" s="15">
        <v>2028</v>
      </c>
      <c r="G6" s="15">
        <v>2028</v>
      </c>
      <c r="H6" s="17"/>
      <c r="I6" s="17" t="s">
        <v>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8.75" customHeight="1" x14ac:dyDescent="0.3">
      <c r="A7" s="18" t="s">
        <v>3</v>
      </c>
      <c r="B7" s="19"/>
      <c r="C7" s="20">
        <f>285000</f>
        <v>285000</v>
      </c>
      <c r="D7" s="21">
        <f>C7*1.2</f>
        <v>342000</v>
      </c>
      <c r="E7" s="20">
        <f>D7*1.214</f>
        <v>415188</v>
      </c>
      <c r="F7" s="20">
        <f t="shared" ref="F7:G7" si="0">E7*1.214</f>
        <v>504038.23199999996</v>
      </c>
      <c r="G7" s="20">
        <f t="shared" si="0"/>
        <v>611902.41364799999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 x14ac:dyDescent="0.3">
      <c r="A8" s="18" t="s">
        <v>4</v>
      </c>
      <c r="B8" s="19"/>
      <c r="C8" s="20">
        <f>+C7*0.25</f>
        <v>71250</v>
      </c>
      <c r="D8" s="21">
        <f t="shared" ref="D8:E8" si="1">C8*1.09</f>
        <v>77662.5</v>
      </c>
      <c r="E8" s="20">
        <f t="shared" si="1"/>
        <v>84652.125</v>
      </c>
      <c r="F8" s="20">
        <f t="shared" ref="F8" si="2">E8*1.09</f>
        <v>92270.816250000003</v>
      </c>
      <c r="G8" s="20">
        <f t="shared" ref="G8" si="3">F8*1.09</f>
        <v>100575.18971250001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 x14ac:dyDescent="0.3">
      <c r="A9" s="22" t="s">
        <v>5</v>
      </c>
      <c r="B9" s="19"/>
      <c r="C9" s="20">
        <f t="shared" ref="C9:G9" si="4">+C7-C8</f>
        <v>213750</v>
      </c>
      <c r="D9" s="21">
        <f t="shared" si="4"/>
        <v>264337.5</v>
      </c>
      <c r="E9" s="20">
        <f t="shared" si="4"/>
        <v>330535.875</v>
      </c>
      <c r="F9" s="20">
        <f t="shared" si="4"/>
        <v>411767.41574999993</v>
      </c>
      <c r="G9" s="20">
        <f t="shared" si="4"/>
        <v>511327.22393549996</v>
      </c>
      <c r="H9" s="1"/>
      <c r="I9" s="2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3">
      <c r="A10" s="18" t="s">
        <v>6</v>
      </c>
      <c r="B10" s="19"/>
      <c r="C10" s="20">
        <v>145000</v>
      </c>
      <c r="D10" s="21">
        <f>C10*1.14</f>
        <v>165300</v>
      </c>
      <c r="E10" s="20">
        <f>D10*1.13</f>
        <v>186788.99999999997</v>
      </c>
      <c r="F10" s="20">
        <f t="shared" ref="F10:G10" si="5">E10*1.13</f>
        <v>211071.56999999995</v>
      </c>
      <c r="G10" s="20">
        <f t="shared" si="5"/>
        <v>238510.87409999993</v>
      </c>
      <c r="H10" s="1"/>
      <c r="I10" s="24" t="s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x14ac:dyDescent="0.3">
      <c r="A11" s="22" t="s">
        <v>7</v>
      </c>
      <c r="B11" s="19"/>
      <c r="C11" s="20">
        <f t="shared" ref="C11:G11" si="6">+C9-C10</f>
        <v>68750</v>
      </c>
      <c r="D11" s="21">
        <f t="shared" si="6"/>
        <v>99037.5</v>
      </c>
      <c r="E11" s="20">
        <f t="shared" si="6"/>
        <v>143746.87500000003</v>
      </c>
      <c r="F11" s="20">
        <f t="shared" si="6"/>
        <v>200695.84574999998</v>
      </c>
      <c r="G11" s="20">
        <f t="shared" si="6"/>
        <v>272816.3498355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 x14ac:dyDescent="0.3">
      <c r="A12" s="22" t="s">
        <v>8</v>
      </c>
      <c r="B12" s="19"/>
      <c r="C12" s="20">
        <f>+C11*0.09</f>
        <v>6187.5</v>
      </c>
      <c r="D12" s="21">
        <f>C12*1.1</f>
        <v>6806.2500000000009</v>
      </c>
      <c r="E12" s="20">
        <f>D12*1.1</f>
        <v>7486.8750000000018</v>
      </c>
      <c r="F12" s="20">
        <f t="shared" ref="F12:G12" si="7">E12*1.1</f>
        <v>8235.5625000000018</v>
      </c>
      <c r="G12" s="20">
        <f t="shared" si="7"/>
        <v>9059.1187500000033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 x14ac:dyDescent="0.3">
      <c r="A13" s="22" t="s">
        <v>9</v>
      </c>
      <c r="B13" s="19"/>
      <c r="C13" s="20">
        <f t="shared" ref="C13:G13" si="8">+C11-C12</f>
        <v>62562.5</v>
      </c>
      <c r="D13" s="21">
        <f t="shared" si="8"/>
        <v>92231.25</v>
      </c>
      <c r="E13" s="20">
        <f t="shared" si="8"/>
        <v>136260.00000000003</v>
      </c>
      <c r="F13" s="20">
        <f t="shared" si="8"/>
        <v>192460.28324999998</v>
      </c>
      <c r="G13" s="20">
        <f t="shared" si="8"/>
        <v>263757.23108549998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 x14ac:dyDescent="0.3">
      <c r="A14" s="22" t="s">
        <v>10</v>
      </c>
      <c r="B14" s="19"/>
      <c r="C14" s="20">
        <f t="shared" ref="C14:G14" si="9">+C13*$B$33</f>
        <v>18768.75</v>
      </c>
      <c r="D14" s="21">
        <f t="shared" si="9"/>
        <v>27669.375</v>
      </c>
      <c r="E14" s="20">
        <f t="shared" si="9"/>
        <v>40878.000000000007</v>
      </c>
      <c r="F14" s="20">
        <f t="shared" si="9"/>
        <v>57738.084974999991</v>
      </c>
      <c r="G14" s="20">
        <f t="shared" si="9"/>
        <v>79127.169325649986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 x14ac:dyDescent="0.3">
      <c r="A15" s="25" t="s">
        <v>11</v>
      </c>
      <c r="B15" s="26"/>
      <c r="C15" s="20">
        <f t="shared" ref="C15:G15" si="10">+C13-C14</f>
        <v>43793.75</v>
      </c>
      <c r="D15" s="21">
        <f t="shared" si="10"/>
        <v>64561.875</v>
      </c>
      <c r="E15" s="20">
        <f t="shared" si="10"/>
        <v>95382.000000000029</v>
      </c>
      <c r="F15" s="20">
        <f t="shared" si="10"/>
        <v>134722.19827499997</v>
      </c>
      <c r="G15" s="20">
        <f t="shared" si="10"/>
        <v>184630.06175985001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">
      <c r="A16" s="27"/>
      <c r="B16" s="6"/>
      <c r="C16" s="6"/>
      <c r="D16" s="6"/>
      <c r="E16" s="6"/>
      <c r="F16" s="6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27"/>
      <c r="B17" s="6"/>
      <c r="C17" s="6"/>
      <c r="D17" s="6"/>
      <c r="E17" s="6"/>
      <c r="F17" s="6"/>
      <c r="G17" s="7"/>
      <c r="H17" s="1"/>
      <c r="I17" s="1"/>
      <c r="J17" s="24" t="s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3">
      <c r="A18" s="28" t="s">
        <v>12</v>
      </c>
      <c r="B18" s="29" t="s">
        <v>13</v>
      </c>
      <c r="C18" s="30">
        <v>5000</v>
      </c>
      <c r="D18" s="30">
        <v>5000</v>
      </c>
      <c r="E18" s="30">
        <v>5000</v>
      </c>
      <c r="F18" s="30">
        <v>5000</v>
      </c>
      <c r="G18" s="30">
        <v>5000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3">
      <c r="A19" s="31" t="s">
        <v>14</v>
      </c>
      <c r="B19" s="32">
        <f>-B4</f>
        <v>-149000</v>
      </c>
      <c r="C19" s="32">
        <f t="shared" ref="C19:G19" si="11">+C15+C18</f>
        <v>48793.75</v>
      </c>
      <c r="D19" s="32">
        <f t="shared" si="11"/>
        <v>69561.875</v>
      </c>
      <c r="E19" s="32">
        <f t="shared" si="11"/>
        <v>100382.00000000003</v>
      </c>
      <c r="F19" s="32">
        <f t="shared" si="11"/>
        <v>139722.19827499997</v>
      </c>
      <c r="G19" s="32">
        <f t="shared" si="11"/>
        <v>189630.06175985001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">
      <c r="A20" s="27"/>
      <c r="B20" s="6"/>
      <c r="C20" s="6"/>
      <c r="D20" s="6"/>
      <c r="E20" s="6"/>
      <c r="F20" s="6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">
      <c r="A21" s="27"/>
      <c r="B21" s="6"/>
      <c r="C21" s="6"/>
      <c r="D21" s="6"/>
      <c r="E21" s="6"/>
      <c r="F21" s="6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2.25" customHeight="1" x14ac:dyDescent="0.3">
      <c r="A22" s="33" t="s">
        <v>24</v>
      </c>
      <c r="B22" s="34">
        <f>-(B23+B19)/B19</f>
        <v>2.5243038281378407</v>
      </c>
      <c r="C22" s="35">
        <v>1</v>
      </c>
      <c r="D22" s="35">
        <v>2</v>
      </c>
      <c r="E22" s="35">
        <v>3</v>
      </c>
      <c r="F22" s="35">
        <v>4</v>
      </c>
      <c r="G22" s="35">
        <v>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">
      <c r="A23" s="36" t="s">
        <v>15</v>
      </c>
      <c r="B23" s="37">
        <f>SUM(C23:G23)</f>
        <v>525121.27039253828</v>
      </c>
      <c r="C23" s="37">
        <f t="shared" ref="C23:D23" si="12">(C19/($B$32+1)^C22)</f>
        <v>47216.711825043538</v>
      </c>
      <c r="D23" s="37">
        <f t="shared" si="12"/>
        <v>65137.991809015308</v>
      </c>
      <c r="E23" s="37">
        <f>(E19/($B$32+1)^E22)</f>
        <v>90960.004389810332</v>
      </c>
      <c r="F23" s="37">
        <f>SUM(G23:K23)</f>
        <v>160903.28118433451</v>
      </c>
      <c r="G23" s="37">
        <f t="shared" ref="G23" si="13">(G19/($B$32+1)^G22)</f>
        <v>160903.28118433451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38" t="s">
        <v>16</v>
      </c>
      <c r="B24" s="39"/>
      <c r="C24" s="40">
        <f t="shared" ref="C24:G24" si="14">+C19/$B$4</f>
        <v>0.32747483221476509</v>
      </c>
      <c r="D24" s="40">
        <f t="shared" si="14"/>
        <v>0.46685822147651007</v>
      </c>
      <c r="E24" s="40">
        <f t="shared" si="14"/>
        <v>0.67370469798657739</v>
      </c>
      <c r="F24" s="39"/>
      <c r="G24" s="40">
        <f t="shared" si="14"/>
        <v>1.2726849782540268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">
      <c r="A25" s="27"/>
      <c r="B25" s="6"/>
      <c r="C25" s="41"/>
      <c r="D25" s="41"/>
      <c r="E25" s="41"/>
      <c r="F25" s="41"/>
      <c r="G25" s="4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27"/>
      <c r="B26" s="6"/>
      <c r="C26" s="41"/>
      <c r="D26" s="41"/>
      <c r="E26" s="41"/>
      <c r="F26" s="41"/>
      <c r="G26" s="4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">
      <c r="A27" s="43" t="s">
        <v>17</v>
      </c>
      <c r="B27" s="44">
        <f>+B32+0.02</f>
        <v>5.3400000000000003E-2</v>
      </c>
      <c r="C27" s="45"/>
      <c r="D27" s="41"/>
      <c r="E27" s="6"/>
      <c r="F27" s="6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">
      <c r="A28" s="43" t="s">
        <v>18</v>
      </c>
      <c r="B28" s="44">
        <f>IRR(B19:G19)</f>
        <v>0.48859610882725257</v>
      </c>
      <c r="C28" s="41"/>
      <c r="D28" s="6"/>
      <c r="E28" s="10"/>
      <c r="F28" s="10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43" t="s">
        <v>19</v>
      </c>
      <c r="B29" s="46">
        <f t="array" ref="B29">NPV(B27,B19:G19)</f>
        <v>290066.18396557326</v>
      </c>
      <c r="C29" s="6"/>
      <c r="D29" s="6"/>
      <c r="E29" s="10"/>
      <c r="F29" s="10"/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43" t="s">
        <v>20</v>
      </c>
      <c r="B30" s="47">
        <f>+B29/B4</f>
        <v>1.946752912520626</v>
      </c>
      <c r="C30" s="6"/>
      <c r="D30" s="6"/>
      <c r="E30" s="10"/>
      <c r="F30" s="10"/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">
      <c r="A31" s="12"/>
      <c r="B31" s="48"/>
      <c r="C31" s="6"/>
      <c r="D31" s="6"/>
      <c r="E31" s="10"/>
      <c r="F31" s="10"/>
      <c r="G31" s="1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">
      <c r="A32" s="49" t="s">
        <v>21</v>
      </c>
      <c r="B32" s="50">
        <v>3.3399999999999999E-2</v>
      </c>
      <c r="C32" s="6"/>
      <c r="D32" s="6"/>
      <c r="E32" s="6"/>
      <c r="F32" s="6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">
      <c r="A33" s="51" t="s">
        <v>22</v>
      </c>
      <c r="B33" s="52">
        <v>0.3</v>
      </c>
      <c r="C33" s="53"/>
      <c r="D33" s="53"/>
      <c r="E33" s="53"/>
      <c r="F33" s="53"/>
      <c r="G33" s="5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">
      <c r="A34" s="1"/>
      <c r="B34" s="1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G2"/>
    <mergeCell ref="C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Viabilidad Financiera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Islas Amador</dc:creator>
  <cp:lastModifiedBy>Erick Vega</cp:lastModifiedBy>
  <dcterms:created xsi:type="dcterms:W3CDTF">2015-10-12T19:13:28Z</dcterms:created>
  <dcterms:modified xsi:type="dcterms:W3CDTF">2025-06-13T13:20:05Z</dcterms:modified>
</cp:coreProperties>
</file>